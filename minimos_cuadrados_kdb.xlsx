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nimos Cuadr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<sst xmlns="http://schemas.openxmlformats.org/spreadsheetml/2006/main" count="22" uniqueCount="22">
  <si>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Mínimos Cuadrados — Att(f) = kdb1·√f + kdb2·f   [dB/m, f en MHz]</t>
  </si>
  <si>
    <t xml:space="preserve">f  (MHz)</t>
  </si>
  <si>
    <t xml:space="preserve">Att  (dB/m)</t>
  </si>
  <si>
    <t xml:space="preserve">√f</t>
  </si>
  <si>
    <t xml:space="preserve">√f · √f</t>
  </si>
  <si>
    <t xml:space="preserve">√f · f</t>
  </si>
  <si>
    <t xml:space="preserve">f · f</t>
  </si>
  <si>
    <t xml:space="preserve">√f · Att</t>
  </si>
  <si>
    <t xml:space="preserve">f · Att</t>
  </si>
  <si>
    <t xml:space="preserve">Error  (dB/m)</t>
  </si>
  <si>
    <t xml:space="preserve">Σ</t>
  </si>
  <si>
    <t xml:space="preserve">Matrices  AᵀA  y  Aᵀb  —  solución: x = (AᵀA)⁻¹ · Aᵀb</t>
  </si>
  <si>
    <t xml:space="preserve">AᵀA  [1,1]  =  Σ(√f·√f)</t>
  </si>
  <si>
    <t xml:space="preserve">Aᵀb  [1]  =  Σ(√f·Att)</t>
  </si>
  <si>
    <t xml:space="preserve">AᵀA  [1,2]  =  Σ(√f·f)</t>
  </si>
  <si>
    <t xml:space="preserve">Aᵀb  [2]  =  Σ(f·Att)</t>
  </si>
  <si>
    <t xml:space="preserve">AᵀA  [2,2]  =  Σ(f·f)</t>
  </si>
  <si>
    <t xml:space="preserve">det(AᵀA)  =  A11·A22 − A12²</t>
  </si>
  <si>
    <t xml:space="preserve">kdb1  [dB/(m·√MHz)]</t>
  </si>
  <si>
    <t xml:space="preserve">kdb2  [dB/(m·MHz)]</t>
  </si>
  <si>
    <t xml:space="preserve">RMS Error  [dB/m]</t>
  </si>
  <si>
    <t xml:space="preserve">Celdas en amarillo = datos de entrada (reemplazar con los valores del cable a estudiar).  Las columnas C–H son los términos de las matrices.  kdb1 y kdb2 se recalculan solos al cambiar los datos.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</si>
</sst>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"/>
    <numFmt numFmtId="166" formatCode="0.00000"/>
    <numFmt numFmtId="167" formatCode="0.0000"/>
    <numFmt numFmtId="168" formatCode="0.00"/>
    <numFmt numFmtId="169" formatCode="\+0.00000;\-0.00000;0.00000"/>
    <numFmt numFmtId="170" formatCode="0.000"/>
    <numFmt numFmtId="171" formatCode="0.000000"/>
    <numFmt numFmtId="172" formatCode="0.00000000"/>
    <numFmt numFmtId="173" formatCode="0.000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1F5C0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E2EFDA"/>
      </patternFill>
    </fill>
    <fill>
      <patternFill patternType="solid">
        <fgColor rgb="FFFFFDE7"/>
        <bgColor rgb="FFF8F8F8"/>
      </patternFill>
    </fill>
    <fill>
      <patternFill patternType="solid">
        <fgColor rgb="FFFFFFFF"/>
        <bgColor rgb="FFF8F8F8"/>
      </patternFill>
    </fill>
    <fill>
      <patternFill patternType="solid">
        <fgColor rgb="FFF5F5F5"/>
        <bgColor rgb="FFF8F8F8"/>
      </patternFill>
    </fill>
    <fill>
      <patternFill patternType="solid">
        <fgColor rgb="FFF0F0F0"/>
        <bgColor rgb="FFF5F5F5"/>
      </patternFill>
    </fill>
    <fill>
      <patternFill patternType="solid">
        <fgColor rgb="FFF8F8F8"/>
        <bgColor rgb="FFF5F5F5"/>
      </patternFill>
    </fill>
    <fill>
      <patternFill patternType="solid">
        <fgColor rgb="FFE2EFDA"/>
        <bgColor rgb="FFF0F0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5C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F0F0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E2EFDA"/>
      <rgbColor rgb="FFF8F8F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9" min="5" style="0" width="1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15.75" hidden="false" customHeight="true" outlineLevel="0" collapsed="false">
      <c r="A3" s="3" t="n">
        <v>30</v>
      </c>
      <c r="B3" s="4" t="n">
        <v>0.06496</v>
      </c>
      <c r="C3" s="5" t="n">
        <f aca="false">SQRT(A3)</f>
        <v>5.47722557505166</v>
      </c>
      <c r="D3" s="6" t="n">
        <f aca="false">C3*C3</f>
        <v>30</v>
      </c>
      <c r="E3" s="6" t="n">
        <f aca="false">C3*A3</f>
        <v>164.31676725155</v>
      </c>
      <c r="F3" s="6" t="n">
        <f aca="false">A3*A3</f>
        <v>900</v>
      </c>
      <c r="G3" s="7" t="n">
        <f aca="false">C3*B3</f>
        <v>0.355800573355356</v>
      </c>
      <c r="H3" s="7" t="n">
        <f aca="false">A3*B3</f>
        <v>1.9488</v>
      </c>
      <c r="I3" s="8" t="n">
        <f aca="false">($C$25*C3+$C$26*A3)-B3</f>
        <v>-0.000295911090496925</v>
      </c>
    </row>
    <row r="4" customFormat="false" ht="15.75" hidden="false" customHeight="true" outlineLevel="0" collapsed="false">
      <c r="A4" s="3" t="n">
        <v>50</v>
      </c>
      <c r="B4" s="4" t="n">
        <v>0.08399</v>
      </c>
      <c r="C4" s="9" t="n">
        <f aca="false">SQRT(A4)</f>
        <v>7.07106781186548</v>
      </c>
      <c r="D4" s="10" t="n">
        <f aca="false">C4*C4</f>
        <v>50</v>
      </c>
      <c r="E4" s="10" t="n">
        <f aca="false">C4*A4</f>
        <v>353.553390593274</v>
      </c>
      <c r="F4" s="10" t="n">
        <f aca="false">A4*A4</f>
        <v>2500</v>
      </c>
      <c r="G4" s="11" t="n">
        <f aca="false">C4*B4</f>
        <v>0.593898985518581</v>
      </c>
      <c r="H4" s="11" t="n">
        <f aca="false">A4*B4</f>
        <v>4.1995</v>
      </c>
      <c r="I4" s="12" t="n">
        <f aca="false">($C$25*C4+$C$26*A4)-B4</f>
        <v>-0.000337130303450242</v>
      </c>
    </row>
    <row r="5" customFormat="false" ht="15.75" hidden="false" customHeight="true" outlineLevel="0" collapsed="false">
      <c r="A5" s="3" t="n">
        <v>100</v>
      </c>
      <c r="B5" s="4" t="n">
        <v>0.12008</v>
      </c>
      <c r="C5" s="5" t="n">
        <f aca="false">SQRT(A5)</f>
        <v>10</v>
      </c>
      <c r="D5" s="6" t="n">
        <f aca="false">C5*C5</f>
        <v>100</v>
      </c>
      <c r="E5" s="6" t="n">
        <f aca="false">C5*A5</f>
        <v>1000</v>
      </c>
      <c r="F5" s="6" t="n">
        <f aca="false">A5*A5</f>
        <v>10000</v>
      </c>
      <c r="G5" s="7" t="n">
        <f aca="false">C5*B5</f>
        <v>1.2008</v>
      </c>
      <c r="H5" s="7" t="n">
        <f aca="false">A5*B5</f>
        <v>12.008</v>
      </c>
      <c r="I5" s="8" t="n">
        <f aca="false">($C$25*C5+$C$26*A5)-B5</f>
        <v>-0.00133026341859253</v>
      </c>
    </row>
    <row r="6" customFormat="false" ht="15.75" hidden="false" customHeight="true" outlineLevel="0" collapsed="false">
      <c r="A6" s="3" t="n">
        <v>150</v>
      </c>
      <c r="B6" s="4" t="n">
        <v>0.146</v>
      </c>
      <c r="C6" s="9" t="n">
        <f aca="false">SQRT(A6)</f>
        <v>12.2474487139159</v>
      </c>
      <c r="D6" s="10" t="n">
        <f aca="false">C6*C6</f>
        <v>150</v>
      </c>
      <c r="E6" s="10" t="n">
        <f aca="false">C6*A6</f>
        <v>1837.11730708738</v>
      </c>
      <c r="F6" s="10" t="n">
        <f aca="false">A6*A6</f>
        <v>22500</v>
      </c>
      <c r="G6" s="11" t="n">
        <f aca="false">C6*B6</f>
        <v>1.78812751223172</v>
      </c>
      <c r="H6" s="11" t="n">
        <f aca="false">A6*B6</f>
        <v>21.9</v>
      </c>
      <c r="I6" s="12" t="n">
        <f aca="false">($C$25*C6+$C$26*A6)-B6</f>
        <v>-0.000142056610605068</v>
      </c>
    </row>
    <row r="7" customFormat="false" ht="15.75" hidden="false" customHeight="true" outlineLevel="0" collapsed="false">
      <c r="A7" s="3" t="n">
        <v>220</v>
      </c>
      <c r="B7" s="4" t="n">
        <v>0.17684</v>
      </c>
      <c r="C7" s="5" t="n">
        <f aca="false">SQRT(A7)</f>
        <v>14.8323969741913</v>
      </c>
      <c r="D7" s="6" t="n">
        <f aca="false">C7*C7</f>
        <v>220</v>
      </c>
      <c r="E7" s="6" t="n">
        <f aca="false">C7*A7</f>
        <v>3263.12733432209</v>
      </c>
      <c r="F7" s="6" t="n">
        <f aca="false">A7*A7</f>
        <v>48400</v>
      </c>
      <c r="G7" s="7" t="n">
        <f aca="false">C7*B7</f>
        <v>2.62296108091599</v>
      </c>
      <c r="H7" s="7" t="n">
        <f aca="false">A7*B7</f>
        <v>38.9048</v>
      </c>
      <c r="I7" s="8" t="n">
        <f aca="false">($C$25*C7+$C$26*A7)-B7</f>
        <v>0.000387509008999143</v>
      </c>
    </row>
    <row r="8" customFormat="false" ht="15.75" hidden="false" customHeight="true" outlineLevel="0" collapsed="false">
      <c r="A8" s="3" t="n">
        <v>450</v>
      </c>
      <c r="B8" s="4" t="n">
        <v>0.25492</v>
      </c>
      <c r="C8" s="9" t="n">
        <f aca="false">SQRT(A8)</f>
        <v>21.2132034355964</v>
      </c>
      <c r="D8" s="10" t="n">
        <f aca="false">C8*C8</f>
        <v>450</v>
      </c>
      <c r="E8" s="10" t="n">
        <f aca="false">C8*A8</f>
        <v>9545.94154601839</v>
      </c>
      <c r="F8" s="10" t="n">
        <f aca="false">A8*A8</f>
        <v>202500</v>
      </c>
      <c r="G8" s="11" t="n">
        <f aca="false">C8*B8</f>
        <v>5.40766981980224</v>
      </c>
      <c r="H8" s="11" t="n">
        <f aca="false">A8*B8</f>
        <v>114.714</v>
      </c>
      <c r="I8" s="12" t="n">
        <f aca="false">($C$25*C8+$C$26*A8)-B8</f>
        <v>0.000614137266032711</v>
      </c>
    </row>
    <row r="9" customFormat="false" ht="15.75" hidden="false" customHeight="true" outlineLevel="0" collapsed="false">
      <c r="A9" s="3" t="n">
        <v>900</v>
      </c>
      <c r="B9" s="4" t="n">
        <v>0.36483</v>
      </c>
      <c r="C9" s="5" t="n">
        <f aca="false">SQRT(A9)</f>
        <v>30</v>
      </c>
      <c r="D9" s="6" t="n">
        <f aca="false">C9*C9</f>
        <v>900</v>
      </c>
      <c r="E9" s="6" t="n">
        <f aca="false">C9*A9</f>
        <v>27000</v>
      </c>
      <c r="F9" s="6" t="n">
        <f aca="false">A9*A9</f>
        <v>810000</v>
      </c>
      <c r="G9" s="7" t="n">
        <f aca="false">C9*B9</f>
        <v>10.9449</v>
      </c>
      <c r="H9" s="7" t="n">
        <f aca="false">A9*B9</f>
        <v>328.347</v>
      </c>
      <c r="I9" s="8" t="n">
        <f aca="false">($C$25*C9+$C$26*A9)-B9</f>
        <v>0.000570266096989347</v>
      </c>
    </row>
    <row r="10" customFormat="false" ht="15.75" hidden="false" customHeight="true" outlineLevel="0" collapsed="false">
      <c r="A10" s="3" t="n">
        <v>1500</v>
      </c>
      <c r="B10" s="4" t="n">
        <v>0.47703</v>
      </c>
      <c r="C10" s="9" t="n">
        <f aca="false">SQRT(A10)</f>
        <v>38.7298334620742</v>
      </c>
      <c r="D10" s="10" t="n">
        <f aca="false">C10*C10</f>
        <v>1500</v>
      </c>
      <c r="E10" s="10" t="n">
        <f aca="false">C10*A10</f>
        <v>58094.7501931113</v>
      </c>
      <c r="F10" s="10" t="n">
        <f aca="false">A10*A10</f>
        <v>2250000</v>
      </c>
      <c r="G10" s="11" t="n">
        <f aca="false">C10*B10</f>
        <v>18.4752924564132</v>
      </c>
      <c r="H10" s="11" t="n">
        <f aca="false">A10*B10</f>
        <v>715.545</v>
      </c>
      <c r="I10" s="12" t="n">
        <f aca="false">($C$25*C10+$C$26*A10)-B10</f>
        <v>-0.000143588447519272</v>
      </c>
    </row>
    <row r="11" customFormat="false" ht="15.75" hidden="false" customHeight="true" outlineLevel="0" collapsed="false">
      <c r="A11" s="3" t="n">
        <v>1800</v>
      </c>
      <c r="B11" s="4" t="n">
        <v>0.52493</v>
      </c>
      <c r="C11" s="5" t="n">
        <f aca="false">SQRT(A11)</f>
        <v>42.4264068711929</v>
      </c>
      <c r="D11" s="6" t="n">
        <f aca="false">C11*C11</f>
        <v>1800</v>
      </c>
      <c r="E11" s="6" t="n">
        <f aca="false">C11*A11</f>
        <v>76367.5323681471</v>
      </c>
      <c r="F11" s="6" t="n">
        <f aca="false">A11*A11</f>
        <v>3240000</v>
      </c>
      <c r="G11" s="7" t="n">
        <f aca="false">C11*B11</f>
        <v>22.2708937588953</v>
      </c>
      <c r="H11" s="7" t="n">
        <f aca="false">A11*B11</f>
        <v>944.874</v>
      </c>
      <c r="I11" s="8" t="n">
        <f aca="false">($C$25*C11+$C$26*A11)-B11</f>
        <v>-0.000135140938784306</v>
      </c>
    </row>
    <row r="12" customFormat="false" ht="15.75" hidden="false" customHeight="true" outlineLevel="0" collapsed="false">
      <c r="A12" s="3" t="n">
        <v>2000</v>
      </c>
      <c r="B12" s="4" t="n">
        <v>0.55413</v>
      </c>
      <c r="C12" s="9" t="n">
        <f aca="false">SQRT(A12)</f>
        <v>44.7213595499958</v>
      </c>
      <c r="D12" s="10" t="n">
        <f aca="false">C12*C12</f>
        <v>2000</v>
      </c>
      <c r="E12" s="10" t="n">
        <f aca="false">C12*A12</f>
        <v>89442.7190999916</v>
      </c>
      <c r="F12" s="10" t="n">
        <f aca="false">A12*A12</f>
        <v>4000000</v>
      </c>
      <c r="G12" s="11" t="n">
        <f aca="false">C12*B12</f>
        <v>24.7814469674392</v>
      </c>
      <c r="H12" s="11" t="n">
        <f aca="false">A12*B12</f>
        <v>1108.26</v>
      </c>
      <c r="I12" s="12" t="n">
        <f aca="false">($C$25*C12+$C$26*A12)-B12</f>
        <v>0.000617693098091565</v>
      </c>
    </row>
    <row r="13" customFormat="false" ht="15.75" hidden="false" customHeight="true" outlineLevel="0" collapsed="false">
      <c r="A13" s="3" t="n">
        <v>2500</v>
      </c>
      <c r="B13" s="4" t="n">
        <v>0.62402</v>
      </c>
      <c r="C13" s="5" t="n">
        <f aca="false">SQRT(A13)</f>
        <v>50</v>
      </c>
      <c r="D13" s="6" t="n">
        <f aca="false">C13*C13</f>
        <v>2500</v>
      </c>
      <c r="E13" s="6" t="n">
        <f aca="false">C13*A13</f>
        <v>125000</v>
      </c>
      <c r="F13" s="6" t="n">
        <f aca="false">A13*A13</f>
        <v>6250000</v>
      </c>
      <c r="G13" s="7" t="n">
        <f aca="false">C13*B13</f>
        <v>31.201</v>
      </c>
      <c r="H13" s="7" t="n">
        <f aca="false">A13*B13</f>
        <v>1560.05</v>
      </c>
      <c r="I13" s="8" t="n">
        <f aca="false">($C$25*C13+$C$26*A13)-B13</f>
        <v>0.000232204082927012</v>
      </c>
    </row>
    <row r="14" customFormat="false" ht="15.75" hidden="false" customHeight="true" outlineLevel="0" collapsed="false">
      <c r="A14" s="3" t="n">
        <v>3000</v>
      </c>
      <c r="B14" s="4" t="n">
        <v>0.68898</v>
      </c>
      <c r="C14" s="9" t="n">
        <f aca="false">SQRT(A14)</f>
        <v>54.7722557505166</v>
      </c>
      <c r="D14" s="10" t="n">
        <f aca="false">C14*C14</f>
        <v>3000</v>
      </c>
      <c r="E14" s="10" t="n">
        <f aca="false">C14*A14</f>
        <v>164316.76725155</v>
      </c>
      <c r="F14" s="10" t="n">
        <f aca="false">A14*A14</f>
        <v>9000000</v>
      </c>
      <c r="G14" s="11" t="n">
        <f aca="false">C14*B14</f>
        <v>37.7369887669909</v>
      </c>
      <c r="H14" s="11" t="n">
        <f aca="false">A14*B14</f>
        <v>2066.94</v>
      </c>
      <c r="I14" s="12" t="n">
        <f aca="false">($C$25*C14+$C$26*A14)-B14</f>
        <v>-0.00115935731751837</v>
      </c>
    </row>
    <row r="15" customFormat="false" ht="15.75" hidden="false" customHeight="true" outlineLevel="0" collapsed="false">
      <c r="A15" s="3" t="n">
        <v>5800</v>
      </c>
      <c r="B15" s="4" t="n">
        <v>0.98097</v>
      </c>
      <c r="C15" s="5" t="n">
        <f aca="false">SQRT(A15)</f>
        <v>76.1577310586391</v>
      </c>
      <c r="D15" s="6" t="n">
        <f aca="false">C15*C15</f>
        <v>5800</v>
      </c>
      <c r="E15" s="6" t="n">
        <f aca="false">C15*A15</f>
        <v>441714.840140107</v>
      </c>
      <c r="F15" s="6" t="n">
        <f aca="false">A15*A15</f>
        <v>33640000</v>
      </c>
      <c r="G15" s="7" t="n">
        <f aca="false">C15*B15</f>
        <v>74.7084494365932</v>
      </c>
      <c r="H15" s="7" t="n">
        <f aca="false">A15*B15</f>
        <v>5689.626</v>
      </c>
      <c r="I15" s="8" t="n">
        <f aca="false">($C$25*C15+$C$26*A15)-B15</f>
        <v>0.000245866784911897</v>
      </c>
    </row>
    <row r="16" customFormat="false" ht="18" hidden="false" customHeight="true" outlineLevel="0" collapsed="false">
      <c r="A16" s="13" t="s">
        <v>10</v>
      </c>
      <c r="B16" s="14" t="n">
        <f aca="false">SUM(B3:B15)</f>
        <v>5.06168</v>
      </c>
      <c r="C16" s="15" t="n">
        <f aca="false">SUM(C3:C15)</f>
        <v>407.648929203039</v>
      </c>
      <c r="D16" s="15" t="n">
        <f aca="false">SUM(D3:D15)</f>
        <v>18500</v>
      </c>
      <c r="E16" s="15" t="n">
        <f aca="false">SUM(E3:E15)</f>
        <v>998100.665398179</v>
      </c>
      <c r="F16" s="15" t="n">
        <f aca="false">SUM(F3:F15)</f>
        <v>59476800</v>
      </c>
      <c r="G16" s="15" t="n">
        <f aca="false">SUM(G3:G15)</f>
        <v>232.088229358156</v>
      </c>
      <c r="H16" s="15" t="n">
        <f aca="false">SUM(H3:H15)</f>
        <v>12607.3171</v>
      </c>
    </row>
    <row r="17" customFormat="false" ht="9.75" hidden="false" customHeight="true" outlineLevel="0" collapsed="false"/>
    <row r="18" customFormat="false" ht="19.5" hidden="false" customHeight="true" outlineLevel="0" collapsed="false">
      <c r="A18" s="16" t="s">
        <v>11</v>
      </c>
      <c r="B18" s="16"/>
      <c r="C18" s="16"/>
      <c r="D18" s="16"/>
      <c r="E18" s="16"/>
      <c r="F18" s="16"/>
      <c r="G18" s="16"/>
      <c r="H18" s="16"/>
      <c r="I18" s="16"/>
    </row>
    <row r="19" customFormat="false" ht="16.5" hidden="false" customHeight="true" outlineLevel="0" collapsed="false">
      <c r="A19" s="17" t="s">
        <v>12</v>
      </c>
      <c r="B19" s="17"/>
      <c r="C19" s="18" t="n">
        <f aca="false">SUM(D3:D15)</f>
        <v>18500</v>
      </c>
      <c r="E19" s="17" t="s">
        <v>13</v>
      </c>
      <c r="F19" s="17"/>
      <c r="G19" s="19" t="n">
        <f aca="false">SUM(G3:G15)</f>
        <v>232.088229358156</v>
      </c>
    </row>
    <row r="20" customFormat="false" ht="16.5" hidden="false" customHeight="true" outlineLevel="0" collapsed="false">
      <c r="A20" s="17" t="s">
        <v>14</v>
      </c>
      <c r="B20" s="17"/>
      <c r="C20" s="18" t="n">
        <f aca="false">SUM(E3:E15)</f>
        <v>998100.665398179</v>
      </c>
      <c r="E20" s="17" t="s">
        <v>15</v>
      </c>
      <c r="F20" s="17"/>
      <c r="G20" s="19" t="n">
        <f aca="false">SUM(H3:H15)</f>
        <v>12607.3171</v>
      </c>
    </row>
    <row r="21" customFormat="false" ht="16.5" hidden="false" customHeight="true" outlineLevel="0" collapsed="false">
      <c r="A21" s="17" t="s">
        <v>16</v>
      </c>
      <c r="B21" s="17"/>
      <c r="C21" s="18" t="n">
        <f aca="false">SUM(F3:F15)</f>
        <v>59476800</v>
      </c>
      <c r="E21" s="20"/>
      <c r="F21" s="20"/>
      <c r="G21" s="20"/>
      <c r="H21" s="20"/>
      <c r="I21" s="20"/>
    </row>
    <row r="22" customFormat="false" ht="6" hidden="false" customHeight="true" outlineLevel="0" collapsed="false"/>
    <row r="23" customFormat="false" ht="16.5" hidden="false" customHeight="true" outlineLevel="0" collapsed="false">
      <c r="A23" s="17" t="s">
        <v>17</v>
      </c>
      <c r="B23" s="17"/>
      <c r="C23" s="21" t="n">
        <f aca="false">C19*C21-C20*C20</f>
        <v>104115861731.712</v>
      </c>
      <c r="D23" s="20"/>
      <c r="E23" s="20"/>
      <c r="F23" s="20"/>
      <c r="G23" s="20"/>
      <c r="H23" s="20"/>
      <c r="I23" s="20"/>
    </row>
    <row r="24" customFormat="false" ht="6" hidden="false" customHeight="true" outlineLevel="0" collapsed="false"/>
    <row r="25" customFormat="false" ht="19.5" hidden="false" customHeight="true" outlineLevel="0" collapsed="false">
      <c r="A25" s="22" t="s">
        <v>18</v>
      </c>
      <c r="B25" s="22"/>
      <c r="C25" s="23" t="n">
        <f aca="false">(C21*G19-C20*G20)/C23</f>
        <v>0.0117224560522613</v>
      </c>
      <c r="D25" s="23"/>
      <c r="E25" s="23"/>
      <c r="F25" s="20"/>
      <c r="G25" s="20"/>
      <c r="H25" s="20"/>
      <c r="I25" s="20"/>
    </row>
    <row r="26" customFormat="false" ht="19.5" hidden="false" customHeight="true" outlineLevel="0" collapsed="false">
      <c r="A26" s="22" t="s">
        <v>19</v>
      </c>
      <c r="B26" s="22"/>
      <c r="C26" s="23" t="n">
        <f aca="false">(C19*G20-C20*G19)/C23</f>
        <v>1.52517605879448E-005</v>
      </c>
      <c r="D26" s="23"/>
      <c r="E26" s="23"/>
      <c r="F26" s="20"/>
      <c r="G26" s="20"/>
      <c r="H26" s="20"/>
      <c r="I26" s="20"/>
    </row>
    <row r="27" customFormat="false" ht="6" hidden="false" customHeight="true" outlineLevel="0" collapsed="false"/>
    <row r="28" customFormat="false" ht="18" hidden="false" customHeight="true" outlineLevel="0" collapsed="false">
      <c r="A28" s="22" t="s">
        <v>20</v>
      </c>
      <c r="B28" s="22"/>
      <c r="C28" s="24" t="n">
        <f aca="false">SQRT(SUMPRODUCT((I3:I15)^2)/COUNT(I3:I15))</f>
        <v>0.000602714141591534</v>
      </c>
      <c r="D28" s="24"/>
      <c r="E28" s="24"/>
      <c r="F28" s="20"/>
      <c r="G28" s="20"/>
      <c r="H28" s="20"/>
      <c r="I28" s="20"/>
    </row>
    <row r="30" customFormat="false" ht="36" hidden="false" customHeight="true" outlineLevel="0" collapsed="false">
      <c r="A30" s="25" t="s">
        <v>21</v>
      </c>
      <c r="B30" s="25"/>
      <c r="C30" s="25"/>
      <c r="D30" s="25"/>
      <c r="E30" s="25"/>
      <c r="F30" s="25"/>
      <c r="G30" s="25"/>
      <c r="H30" s="25"/>
      <c r="I30" s="25"/>
    </row>
  </sheetData>
  <mergeCells count="15">
    <mergeCell ref="A1:I1"/>
    <mergeCell ref="A18:I18"/>
    <mergeCell ref="A19:B19"/>
    <mergeCell ref="E19:F19"/>
    <mergeCell ref="A20:B20"/>
    <mergeCell ref="E20:F20"/>
    <mergeCell ref="A21:B21"/>
    <mergeCell ref="A23:B23"/>
    <mergeCell ref="A25:B25"/>
    <mergeCell ref="C25:E25"/>
    <mergeCell ref="A26:B26"/>
    <mergeCell ref="C26:E26"/>
    <mergeCell ref="A28:B28"/>
    <mergeCell ref="C28:E28"/>
    <mergeCell ref="A30:I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2026-03-18T13:25:42Z</dcterms:created>
  <dc:creator>openpyxl</dc:creator>
  <dc:description/>
  <dc:language>en-US</dc:language>
  <cp:lastModifiedBy/>
  <dcterms:modified xsi:type="dcterms:W3CDTF">2026-03-18T13:25:42Z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